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SENIC\ใบเสนอราคา\ใบเสนอราคาโรงพยาบาลแคนเซอร์อะลิอันซ์ ศรีราชา\"/>
    </mc:Choice>
  </mc:AlternateContent>
  <xr:revisionPtr revIDLastSave="0" documentId="13_ncr:1_{B3B99BDA-97D0-4637-A35E-1B649F734B8C}" xr6:coauthVersionLast="47" xr6:coauthVersionMax="47" xr10:uidLastSave="{00000000-0000-0000-0000-000000000000}"/>
  <bookViews>
    <workbookView xWindow="69135" yWindow="2130" windowWidth="28800" windowHeight="11295" tabRatio="500" xr2:uid="{00000000-000D-0000-FFFF-FFFF00000000}"/>
  </bookViews>
  <sheets>
    <sheet name="แบบฟอร์มใบเสนอราคา" sheetId="1" r:id="rId1"/>
  </sheets>
  <definedNames>
    <definedName name="_xlnm.Print_Area" localSheetId="0">แบบฟอร์มใบเสนอราคา!$A$1:$I$35</definedName>
    <definedName name="_xlnm.Print_Area">แบบฟอร์มใบเสนอราคา!$1:$1048576</definedName>
    <definedName name="quotation_form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5" i="1" l="1"/>
  <c r="I26" i="1"/>
  <c r="I27" i="1"/>
  <c r="I28" i="1"/>
  <c r="I24" i="1" l="1"/>
  <c r="I23" i="1"/>
  <c r="I18" i="1"/>
  <c r="I19" i="1"/>
  <c r="I20" i="1"/>
  <c r="I21" i="1"/>
  <c r="I22" i="1"/>
  <c r="I17" i="1" l="1"/>
  <c r="I16" i="1"/>
  <c r="I29" i="1" l="1"/>
  <c r="I31" i="1" s="1"/>
  <c r="B31" i="1" s="1"/>
</calcChain>
</file>

<file path=xl/sharedStrings.xml><?xml version="1.0" encoding="utf-8"?>
<sst xmlns="http://schemas.openxmlformats.org/spreadsheetml/2006/main" count="39" uniqueCount="38">
  <si>
    <t xml:space="preserve">   ใบเสนอราคา</t>
  </si>
  <si>
    <t xml:space="preserve">   QUOTATION</t>
  </si>
  <si>
    <t>เรียน/Attention:</t>
  </si>
  <si>
    <t xml:space="preserve">เลขที่/ No. :   </t>
  </si>
  <si>
    <t xml:space="preserve">วันที่ Date :     </t>
  </si>
  <si>
    <t>We are please to submit you the following described here in at price, items and terms stated :</t>
  </si>
  <si>
    <t>ลำดับที่</t>
  </si>
  <si>
    <t>รายการ</t>
  </si>
  <si>
    <t>จำนวน</t>
  </si>
  <si>
    <t>ราคาต่อ</t>
  </si>
  <si>
    <t>จำนวนเงิน</t>
  </si>
  <si>
    <t>ITEM</t>
  </si>
  <si>
    <t>DESCRIPTION</t>
  </si>
  <si>
    <t>หน่วย</t>
  </si>
  <si>
    <t>Amount</t>
  </si>
  <si>
    <t>รวมเงิน</t>
  </si>
  <si>
    <t>ภาษีมูลค่าเพิ่ม 7%</t>
  </si>
  <si>
    <t>ยอดเงินสุทธิ</t>
  </si>
  <si>
    <t>ผู้อนุมัติ :</t>
  </si>
  <si>
    <t>ผู้เสนอ :</t>
  </si>
  <si>
    <t xml:space="preserve">       (                                                        )</t>
  </si>
  <si>
    <t>(นาย ศุภชัย นิลชา)</t>
  </si>
  <si>
    <t xml:space="preserve">ตำแหน่ง </t>
  </si>
  <si>
    <t xml:space="preserve">หมายเหตุ/Remark : </t>
  </si>
  <si>
    <t>ร้าน ซีนิค โซลูชั่น  ขอเรียนเสนอราคาและเงื่อนไขสำหรับท่านดังนี้:</t>
  </si>
  <si>
    <t>529 หมู่ 3 ตำบลหนองขาม อำเภอศรีราชา จังหวัดชลบุรี 20110</t>
  </si>
  <si>
    <t xml:space="preserve">บริษัท แคนเซอร์อลิอันซ์  จำกัด (สำนักงานใหญ่)  </t>
  </si>
  <si>
    <t>เลขทะเบียนผู้เสียภาษี 0205561001360</t>
  </si>
  <si>
    <t xml:space="preserve">392/39 หมู่บ้านพฤกษาวิวล์ 74 หมู่ 10 ต.บางพระ อ.ศรีราชา จ.ชลบุรี 20110 </t>
  </si>
  <si>
    <t>เลขประจำตัวผู้เสียภาษี 1250200133469</t>
  </si>
  <si>
    <t xml:space="preserve">ร้าน ซีนิค โซลูชั่น </t>
  </si>
  <si>
    <r>
      <t xml:space="preserve">Mail : </t>
    </r>
    <r>
      <rPr>
        <sz val="14"/>
        <rFont val="CordiaUPC"/>
        <family val="2"/>
        <charset val="222"/>
      </rPr>
      <t>senicsolution@gmail.com</t>
    </r>
  </si>
  <si>
    <r>
      <t>Tel. :</t>
    </r>
    <r>
      <rPr>
        <sz val="14"/>
        <rFont val="CordiaUPC"/>
        <family val="2"/>
        <charset val="222"/>
      </rPr>
      <t xml:space="preserve">   099-179-5582</t>
    </r>
  </si>
  <si>
    <t>ค่าบริการเปิดเครื่องซ่อมตรวจเช็คและทดสอบระบบต่างๆ ติดตั้งระบบปฏิบัติการ และโปรแกรม</t>
  </si>
  <si>
    <t>ใช้งานอื่นๆ จำนวน 3 เครื่อง</t>
  </si>
  <si>
    <t xml:space="preserve"> 30/05/2026</t>
  </si>
  <si>
    <t>Q2/001/2026</t>
  </si>
  <si>
    <t>ค่าอุปกรณ์พร้อมเปลี่ยนถ่านBios 3 เครื่อง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</si>
</sst>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1E]d\-mmm\-yy"/>
    <numFmt numFmtId="188" formatCode="_-* #,##0.00_-;\-* #,##0.00_-;_-* \-??_-;_-@_-"/>
    <numFmt numFmtId="189" formatCode="#,##0_ ;[Red]\-#,##0\ "/>
  </numFmts>
  <fonts count="23" x14ac:knownFonts="1">
    <font>
      <sz val="14"/>
      <name val="CordiaUPC"/>
      <charset val="1"/>
    </font>
    <font>
      <sz val="16"/>
      <name val="CordiaUPC"/>
      <family val="2"/>
      <charset val="222"/>
    </font>
    <font>
      <b/>
      <sz val="16"/>
      <name val="BrowalliaUPC"/>
      <family val="2"/>
      <charset val="222"/>
    </font>
    <font>
      <b/>
      <sz val="18"/>
      <name val="CordiaUPC"/>
      <family val="2"/>
      <charset val="222"/>
    </font>
    <font>
      <sz val="14"/>
      <name val="CordiaUPC"/>
      <family val="2"/>
      <charset val="222"/>
    </font>
    <font>
      <b/>
      <sz val="16"/>
      <name val="CordiaUPC"/>
      <family val="2"/>
      <charset val="222"/>
    </font>
    <font>
      <b/>
      <sz val="14"/>
      <name val="Angsana New"/>
      <family val="1"/>
      <charset val="222"/>
    </font>
    <font>
      <b/>
      <sz val="14"/>
      <name val="CordiaUPC"/>
      <family val="2"/>
      <charset val="222"/>
    </font>
    <font>
      <b/>
      <sz val="16"/>
      <name val="CordiaUPC"/>
      <family val="2"/>
      <charset val="1"/>
    </font>
    <font>
      <b/>
      <sz val="14"/>
      <name val="CordiaUPC"/>
      <family val="2"/>
    </font>
    <font>
      <b/>
      <sz val="14"/>
      <name val="CordiaUPC"/>
      <family val="2"/>
      <charset val="1"/>
    </font>
    <font>
      <sz val="14"/>
      <name val="CordiaUPC"/>
      <family val="2"/>
      <charset val="1"/>
    </font>
    <font>
      <b/>
      <sz val="18"/>
      <name val="CordiaUPC"/>
      <family val="2"/>
      <charset val="1"/>
    </font>
    <font>
      <sz val="18"/>
      <name val="CordiaUPC"/>
      <family val="2"/>
      <charset val="222"/>
    </font>
    <font>
      <sz val="14"/>
      <name val="Angsana New"/>
      <family val="1"/>
      <charset val="222"/>
    </font>
    <font>
      <sz val="14"/>
      <name val="Angsana New"/>
      <family val="1"/>
      <charset val="1"/>
    </font>
    <font>
      <sz val="14"/>
      <name val="CordiaUPC"/>
      <family val="2"/>
    </font>
    <font>
      <sz val="14"/>
      <color rgb="FFFF0000"/>
      <name val="Angsana New"/>
      <family val="1"/>
      <charset val="1"/>
    </font>
    <font>
      <b/>
      <sz val="14"/>
      <name val="CordiaUPC"/>
      <family val="2"/>
    </font>
    <font>
      <sz val="14"/>
      <color rgb="FF00B050"/>
      <name val="Angsana New"/>
      <family val="1"/>
      <charset val="1"/>
    </font>
    <font>
      <sz val="14"/>
      <color theme="0"/>
      <name val="CordiaUPC"/>
      <family val="2"/>
      <charset val="222"/>
    </font>
    <font>
      <sz val="14"/>
      <color rgb="FFFF0000"/>
      <name val="CordiaUPC"/>
      <family val="2"/>
      <charset val="222"/>
    </font>
    <font>
      <sz val="14"/>
      <name val="BrowalliaUP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88" fontId="16" fillId="0" borderId="0" applyBorder="0" applyProtection="0"/>
  </cellStyleXfs>
  <cellXfs count="96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4" xfId="0" applyFont="1" applyBorder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/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187" fontId="4" fillId="0" borderId="6" xfId="0" applyNumberFormat="1" applyFont="1" applyBorder="1"/>
    <xf numFmtId="0" fontId="9" fillId="0" borderId="0" xfId="0" applyFont="1"/>
    <xf numFmtId="0" fontId="4" fillId="0" borderId="6" xfId="0" applyFont="1" applyBorder="1"/>
    <xf numFmtId="0" fontId="4" fillId="0" borderId="4" xfId="0" applyFont="1" applyBorder="1"/>
    <xf numFmtId="0" fontId="10" fillId="0" borderId="0" xfId="0" applyFont="1"/>
    <xf numFmtId="0" fontId="4" fillId="0" borderId="0" xfId="0" applyFont="1" applyAlignment="1">
      <alignment horizontal="left"/>
    </xf>
    <xf numFmtId="0" fontId="10" fillId="0" borderId="7" xfId="0" applyFont="1" applyBorder="1"/>
    <xf numFmtId="0" fontId="10" fillId="0" borderId="5" xfId="0" applyFont="1" applyBorder="1"/>
    <xf numFmtId="0" fontId="4" fillId="0" borderId="9" xfId="0" applyFont="1" applyBorder="1" applyAlignment="1">
      <alignment horizontal="center"/>
    </xf>
    <xf numFmtId="0" fontId="4" fillId="0" borderId="8" xfId="0" applyFont="1" applyBorder="1"/>
    <xf numFmtId="0" fontId="4" fillId="0" borderId="8" xfId="0" applyFont="1" applyBorder="1" applyAlignment="1">
      <alignment vertical="top"/>
    </xf>
    <xf numFmtId="0" fontId="4" fillId="0" borderId="10" xfId="0" applyFont="1" applyBorder="1"/>
    <xf numFmtId="0" fontId="9" fillId="0" borderId="9" xfId="0" applyFont="1" applyBorder="1"/>
    <xf numFmtId="0" fontId="9" fillId="0" borderId="8" xfId="0" applyFont="1" applyBorder="1"/>
    <xf numFmtId="0" fontId="11" fillId="0" borderId="1" xfId="0" applyFont="1" applyBorder="1"/>
    <xf numFmtId="0" fontId="12" fillId="0" borderId="0" xfId="0" applyFont="1" applyAlignment="1">
      <alignment horizontal="left"/>
    </xf>
    <xf numFmtId="0" fontId="12" fillId="0" borderId="0" xfId="0" applyFont="1"/>
    <xf numFmtId="0" fontId="4" fillId="0" borderId="11" xfId="0" applyFont="1" applyBorder="1"/>
    <xf numFmtId="0" fontId="11" fillId="0" borderId="9" xfId="0" applyFont="1" applyBorder="1"/>
    <xf numFmtId="0" fontId="3" fillId="0" borderId="0" xfId="0" applyFont="1" applyAlignment="1">
      <alignment horizontal="left"/>
    </xf>
    <xf numFmtId="0" fontId="13" fillId="0" borderId="0" xfId="0" applyFont="1"/>
    <xf numFmtId="0" fontId="6" fillId="0" borderId="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88" fontId="4" fillId="0" borderId="2" xfId="1" applyFont="1" applyBorder="1" applyAlignment="1" applyProtection="1">
      <alignment horizontal="right"/>
    </xf>
    <xf numFmtId="0" fontId="1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3" xfId="0" applyFont="1" applyBorder="1"/>
    <xf numFmtId="0" fontId="1" fillId="0" borderId="9" xfId="0" applyFont="1" applyBorder="1"/>
    <xf numFmtId="0" fontId="7" fillId="0" borderId="8" xfId="0" applyFont="1" applyBorder="1"/>
    <xf numFmtId="0" fontId="1" fillId="0" borderId="8" xfId="0" applyFont="1" applyBorder="1"/>
    <xf numFmtId="0" fontId="4" fillId="0" borderId="13" xfId="0" applyFont="1" applyBorder="1" applyAlignment="1">
      <alignment horizontal="center"/>
    </xf>
    <xf numFmtId="188" fontId="4" fillId="0" borderId="1" xfId="1" applyFont="1" applyBorder="1" applyAlignment="1" applyProtection="1">
      <alignment horizontal="center"/>
    </xf>
    <xf numFmtId="188" fontId="4" fillId="0" borderId="3" xfId="1" applyFont="1" applyBorder="1" applyAlignment="1" applyProtection="1">
      <alignment horizontal="center"/>
    </xf>
    <xf numFmtId="0" fontId="10" fillId="0" borderId="9" xfId="0" applyFont="1" applyBorder="1" applyAlignment="1">
      <alignment horizontal="left"/>
    </xf>
    <xf numFmtId="188" fontId="5" fillId="2" borderId="14" xfId="1" applyFont="1" applyFill="1" applyBorder="1" applyAlignment="1" applyProtection="1">
      <alignment horizontal="center"/>
    </xf>
    <xf numFmtId="0" fontId="4" fillId="0" borderId="15" xfId="0" applyFont="1" applyBorder="1"/>
    <xf numFmtId="0" fontId="4" fillId="0" borderId="13" xfId="0" applyFont="1" applyBorder="1"/>
    <xf numFmtId="0" fontId="6" fillId="0" borderId="4" xfId="0" applyFont="1" applyBorder="1" applyAlignment="1">
      <alignment horizontal="left"/>
    </xf>
    <xf numFmtId="0" fontId="4" fillId="0" borderId="12" xfId="0" applyFont="1" applyBorder="1"/>
    <xf numFmtId="0" fontId="6" fillId="0" borderId="9" xfId="0" applyFont="1" applyBorder="1" applyAlignment="1">
      <alignment horizontal="left"/>
    </xf>
    <xf numFmtId="0" fontId="18" fillId="0" borderId="4" xfId="0" applyFont="1" applyBorder="1"/>
    <xf numFmtId="0" fontId="14" fillId="0" borderId="2" xfId="0" applyFont="1" applyBorder="1" applyAlignment="1">
      <alignment horizontal="center" vertical="center" wrapText="1"/>
    </xf>
    <xf numFmtId="189" fontId="4" fillId="0" borderId="12" xfId="0" applyNumberFormat="1" applyFont="1" applyBorder="1" applyAlignment="1">
      <alignment horizontal="center"/>
    </xf>
    <xf numFmtId="189" fontId="4" fillId="0" borderId="2" xfId="0" applyNumberFormat="1" applyFont="1" applyBorder="1" applyAlignment="1">
      <alignment horizontal="center"/>
    </xf>
    <xf numFmtId="189" fontId="1" fillId="0" borderId="3" xfId="0" applyNumberFormat="1" applyFont="1" applyBorder="1"/>
    <xf numFmtId="0" fontId="4" fillId="0" borderId="12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right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9" fillId="0" borderId="2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right"/>
    </xf>
    <xf numFmtId="0" fontId="20" fillId="0" borderId="12" xfId="0" applyFont="1" applyBorder="1" applyAlignment="1">
      <alignment horizontal="right"/>
    </xf>
    <xf numFmtId="0" fontId="7" fillId="0" borderId="8" xfId="0" applyFont="1" applyBorder="1" applyAlignment="1">
      <alignment horizontal="center"/>
    </xf>
    <xf numFmtId="0" fontId="14" fillId="2" borderId="10" xfId="0" applyFont="1" applyFill="1" applyBorder="1" applyAlignment="1">
      <alignment horizontal="right"/>
    </xf>
    <xf numFmtId="0" fontId="17" fillId="0" borderId="4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17" fillId="0" borderId="12" xfId="0" applyFont="1" applyBorder="1" applyAlignment="1">
      <alignment horizontal="right"/>
    </xf>
    <xf numFmtId="0" fontId="17" fillId="0" borderId="4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12" xfId="0" applyFont="1" applyBorder="1" applyAlignment="1">
      <alignment horizontal="left"/>
    </xf>
    <xf numFmtId="0" fontId="15" fillId="0" borderId="4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AA6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312480</xdr:colOff>
      <xdr:row>3</xdr:row>
      <xdr:rowOff>30600</xdr:rowOff>
    </xdr:from>
    <xdr:to>
      <xdr:col>8</xdr:col>
      <xdr:colOff>666510</xdr:colOff>
      <xdr:row>5</xdr:row>
      <xdr:rowOff>285690</xdr:rowOff>
    </xdr:to>
    <xdr:pic>
      <xdr:nvPicPr>
        <xdr:cNvPr id="3" name="รูปภาพ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780880" y="945000"/>
          <a:ext cx="811440" cy="860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434520</xdr:colOff>
      <xdr:row>31</xdr:row>
      <xdr:rowOff>68760</xdr:rowOff>
    </xdr:from>
    <xdr:to>
      <xdr:col>8</xdr:col>
      <xdr:colOff>476130</xdr:colOff>
      <xdr:row>33</xdr:row>
      <xdr:rowOff>60780</xdr:rowOff>
    </xdr:to>
    <xdr:pic>
      <xdr:nvPicPr>
        <xdr:cNvPr id="4" name="รูปภาพ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449680" y="9254520"/>
          <a:ext cx="944640" cy="5824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F35"/>
  <sheetViews>
    <sheetView showGridLines="0" tabSelected="1" topLeftCell="A10" zoomScaleNormal="100" zoomScalePageLayoutView="50" workbookViewId="0">
      <selection activeCell="B16" sqref="B16:F16"/>
    </sheetView>
  </sheetViews>
  <sheetFormatPr defaultColWidth="9.140625" defaultRowHeight="24" x14ac:dyDescent="0.55000000000000004"/>
  <cols>
    <col min="1" max="1" width="6.5703125" style="1" customWidth="1"/>
    <col min="2" max="2" width="5.85546875" style="1" customWidth="1"/>
    <col min="3" max="3" width="10.140625" style="1" customWidth="1"/>
    <col min="4" max="4" width="18" style="1" customWidth="1"/>
    <col min="5" max="5" width="25.7109375" style="1" customWidth="1"/>
    <col min="6" max="6" width="12.28515625" style="1" customWidth="1"/>
    <col min="7" max="8" width="7" style="1" customWidth="1"/>
    <col min="9" max="9" width="15.42578125" style="1" customWidth="1"/>
    <col min="10" max="1020" width="9.140625" style="1"/>
  </cols>
  <sheetData>
    <row r="1" spans="1:9" ht="24" customHeight="1" x14ac:dyDescent="0.55000000000000004">
      <c r="A1" s="91" t="s">
        <v>30</v>
      </c>
      <c r="B1" s="91"/>
      <c r="C1" s="91"/>
      <c r="D1" s="91"/>
      <c r="E1" s="91"/>
      <c r="F1" s="91"/>
      <c r="G1" s="91"/>
      <c r="H1" s="91"/>
      <c r="I1" s="91"/>
    </row>
    <row r="2" spans="1:9" ht="24" customHeight="1" x14ac:dyDescent="0.55000000000000004">
      <c r="A2" s="92" t="s">
        <v>29</v>
      </c>
      <c r="B2" s="92"/>
      <c r="C2" s="92"/>
      <c r="D2" s="92"/>
      <c r="E2" s="92"/>
      <c r="F2" s="92"/>
      <c r="G2" s="92"/>
      <c r="H2" s="92"/>
      <c r="I2" s="92"/>
    </row>
    <row r="3" spans="1:9" ht="24" customHeight="1" x14ac:dyDescent="0.55000000000000004">
      <c r="B3"/>
      <c r="C3"/>
      <c r="D3"/>
      <c r="E3"/>
      <c r="F3"/>
      <c r="G3"/>
      <c r="H3"/>
      <c r="I3" s="63" t="s">
        <v>28</v>
      </c>
    </row>
    <row r="4" spans="1:9" ht="24" customHeight="1" x14ac:dyDescent="0.55000000000000004">
      <c r="A4" s="93" t="s">
        <v>0</v>
      </c>
      <c r="B4" s="93"/>
      <c r="C4" s="93"/>
      <c r="D4" s="93"/>
      <c r="E4" s="93"/>
      <c r="F4" s="93"/>
      <c r="G4" s="93"/>
      <c r="H4" s="93"/>
      <c r="I4" s="93"/>
    </row>
    <row r="5" spans="1:9" ht="24" customHeight="1" x14ac:dyDescent="0.55000000000000004">
      <c r="A5" s="94" t="s">
        <v>1</v>
      </c>
      <c r="B5" s="94"/>
      <c r="C5" s="94"/>
      <c r="D5" s="94"/>
      <c r="E5" s="94"/>
      <c r="F5" s="94"/>
      <c r="G5" s="94"/>
      <c r="H5" s="94"/>
      <c r="I5" s="94"/>
    </row>
    <row r="6" spans="1:9" s="1" customFormat="1" x14ac:dyDescent="0.55000000000000004">
      <c r="A6" s="95"/>
      <c r="B6" s="95"/>
      <c r="C6" s="95"/>
      <c r="D6" s="95"/>
      <c r="E6" s="95"/>
      <c r="F6" s="95"/>
      <c r="G6" s="95"/>
      <c r="H6" s="95"/>
      <c r="I6" s="95"/>
    </row>
    <row r="7" spans="1:9" x14ac:dyDescent="0.55000000000000004">
      <c r="A7" s="3" t="s">
        <v>2</v>
      </c>
      <c r="B7" s="2"/>
      <c r="D7" s="2"/>
      <c r="E7" s="2"/>
      <c r="F7" s="2"/>
      <c r="G7" s="4" t="s">
        <v>3</v>
      </c>
      <c r="H7" s="5"/>
      <c r="I7" s="6" t="s">
        <v>36</v>
      </c>
    </row>
    <row r="8" spans="1:9" ht="24.95" customHeight="1" x14ac:dyDescent="0.55000000000000004">
      <c r="A8" s="7"/>
      <c r="B8" s="8"/>
      <c r="C8" s="9" t="s">
        <v>26</v>
      </c>
      <c r="D8" s="2"/>
      <c r="E8" s="2"/>
      <c r="F8" s="2"/>
      <c r="G8" s="10" t="s">
        <v>4</v>
      </c>
      <c r="H8" s="11"/>
      <c r="I8" s="12" t="s">
        <v>35</v>
      </c>
    </row>
    <row r="9" spans="1:9" x14ac:dyDescent="0.55000000000000004">
      <c r="A9" s="7"/>
      <c r="B9" s="8"/>
      <c r="C9" s="1" t="s">
        <v>25</v>
      </c>
      <c r="D9" s="2"/>
      <c r="E9" s="2"/>
      <c r="F9" s="2"/>
      <c r="G9" s="55" t="s">
        <v>23</v>
      </c>
      <c r="H9" s="13"/>
      <c r="I9" s="14"/>
    </row>
    <row r="10" spans="1:9" x14ac:dyDescent="0.55000000000000004">
      <c r="A10" s="7"/>
      <c r="C10" s="62" t="s">
        <v>27</v>
      </c>
      <c r="D10" s="2"/>
      <c r="E10" s="17"/>
      <c r="F10" s="2"/>
      <c r="G10" s="18" t="s">
        <v>32</v>
      </c>
      <c r="H10" s="19"/>
      <c r="I10" s="6"/>
    </row>
    <row r="11" spans="1:9" ht="24" customHeight="1" x14ac:dyDescent="0.55000000000000004">
      <c r="A11" s="20"/>
      <c r="B11" s="21"/>
      <c r="C11" s="22"/>
      <c r="D11" s="21"/>
      <c r="E11" s="21"/>
      <c r="F11" s="23"/>
      <c r="G11" s="24" t="s">
        <v>31</v>
      </c>
      <c r="H11" s="25"/>
      <c r="I11" s="23"/>
    </row>
    <row r="12" spans="1:9" ht="26.25" x14ac:dyDescent="0.55000000000000004">
      <c r="A12" s="26" t="s">
        <v>24</v>
      </c>
      <c r="B12" s="16"/>
      <c r="C12" s="16"/>
      <c r="D12" s="16"/>
      <c r="E12" s="27"/>
      <c r="F12" s="28"/>
      <c r="G12" s="16"/>
      <c r="H12" s="16"/>
      <c r="I12" s="29"/>
    </row>
    <row r="13" spans="1:9" ht="24" customHeight="1" x14ac:dyDescent="0.65">
      <c r="A13" s="30" t="s">
        <v>5</v>
      </c>
      <c r="B13" s="2"/>
      <c r="C13" s="2"/>
      <c r="D13" s="2"/>
      <c r="E13" s="31"/>
      <c r="F13" s="32"/>
      <c r="G13" s="2"/>
      <c r="H13" s="2"/>
      <c r="I13" s="23"/>
    </row>
    <row r="14" spans="1:9" x14ac:dyDescent="0.55000000000000004">
      <c r="A14" s="33" t="s">
        <v>6</v>
      </c>
      <c r="B14" s="89" t="s">
        <v>7</v>
      </c>
      <c r="C14" s="89"/>
      <c r="D14" s="89"/>
      <c r="E14" s="89"/>
      <c r="F14" s="89"/>
      <c r="G14" s="33" t="s">
        <v>8</v>
      </c>
      <c r="H14" s="34" t="s">
        <v>9</v>
      </c>
      <c r="I14" s="33" t="s">
        <v>10</v>
      </c>
    </row>
    <row r="15" spans="1:9" x14ac:dyDescent="0.55000000000000004">
      <c r="A15" s="35" t="s">
        <v>11</v>
      </c>
      <c r="B15" s="90" t="s">
        <v>12</v>
      </c>
      <c r="C15" s="90"/>
      <c r="D15" s="90"/>
      <c r="E15" s="90"/>
      <c r="F15" s="90"/>
      <c r="G15" s="35" t="s">
        <v>13</v>
      </c>
      <c r="H15" s="36" t="s">
        <v>13</v>
      </c>
      <c r="I15" s="35" t="s">
        <v>14</v>
      </c>
    </row>
    <row r="16" spans="1:9" ht="21.95" customHeight="1" x14ac:dyDescent="0.55000000000000004">
      <c r="A16" s="56">
        <v>1</v>
      </c>
      <c r="B16" s="86" t="s">
        <v>33</v>
      </c>
      <c r="C16" s="87"/>
      <c r="D16" s="87"/>
      <c r="E16" s="87"/>
      <c r="F16" s="88"/>
      <c r="G16" s="37">
        <v>3</v>
      </c>
      <c r="H16" s="57">
        <v>900</v>
      </c>
      <c r="I16" s="38">
        <f>G16*H16</f>
        <v>2700</v>
      </c>
    </row>
    <row r="17" spans="1:9" ht="22.15" customHeight="1" x14ac:dyDescent="0.55000000000000004">
      <c r="A17" s="56"/>
      <c r="B17" s="80" t="s">
        <v>34</v>
      </c>
      <c r="C17" s="81"/>
      <c r="D17" s="81"/>
      <c r="E17" s="81"/>
      <c r="F17" s="82"/>
      <c r="G17" s="37"/>
      <c r="H17" s="57"/>
      <c r="I17" s="38">
        <f>G17*H17</f>
        <v>0</v>
      </c>
    </row>
    <row r="18" spans="1:9" s="1" customFormat="1" ht="21.95" customHeight="1" x14ac:dyDescent="0.55000000000000004">
      <c r="A18" s="56"/>
      <c r="B18" s="80" t="s">
        <v>37</v>
      </c>
      <c r="C18" s="81"/>
      <c r="D18" s="81"/>
      <c r="E18" s="81"/>
      <c r="F18" s="82"/>
      <c r="G18" s="37">
        <v>3</v>
      </c>
      <c r="H18" s="57">
        <v>200</v>
      </c>
      <c r="I18" s="38">
        <f t="shared" ref="I18:I28" si="0">G18*H18</f>
        <v>600</v>
      </c>
    </row>
    <row r="19" spans="1:9" ht="21.95" customHeight="1" x14ac:dyDescent="0.55000000000000004">
      <c r="A19" s="56"/>
      <c r="B19" s="83"/>
      <c r="C19" s="83"/>
      <c r="D19" s="83"/>
      <c r="E19" s="83"/>
      <c r="F19" s="83"/>
      <c r="G19" s="37"/>
      <c r="H19" s="57"/>
      <c r="I19" s="38">
        <f t="shared" si="0"/>
        <v>0</v>
      </c>
    </row>
    <row r="20" spans="1:9" s="1" customFormat="1" ht="21.95" customHeight="1" x14ac:dyDescent="0.55000000000000004">
      <c r="A20" s="37"/>
      <c r="B20" s="84"/>
      <c r="C20" s="84"/>
      <c r="D20" s="84"/>
      <c r="E20" s="84"/>
      <c r="F20" s="84"/>
      <c r="G20" s="37"/>
      <c r="H20" s="57"/>
      <c r="I20" s="38">
        <f t="shared" si="0"/>
        <v>0</v>
      </c>
    </row>
    <row r="21" spans="1:9" s="1" customFormat="1" ht="21.95" customHeight="1" x14ac:dyDescent="0.55000000000000004">
      <c r="A21" s="37"/>
      <c r="B21" s="85"/>
      <c r="C21" s="85"/>
      <c r="D21" s="85"/>
      <c r="E21" s="85"/>
      <c r="F21" s="85"/>
      <c r="G21" s="37"/>
      <c r="H21" s="57"/>
      <c r="I21" s="38">
        <f t="shared" si="0"/>
        <v>0</v>
      </c>
    </row>
    <row r="22" spans="1:9" ht="21.95" customHeight="1" x14ac:dyDescent="0.55000000000000004">
      <c r="A22" s="37"/>
      <c r="B22" s="64"/>
      <c r="C22" s="65"/>
      <c r="D22" s="65"/>
      <c r="E22" s="65"/>
      <c r="F22" s="66"/>
      <c r="G22" s="37"/>
      <c r="H22" s="57"/>
      <c r="I22" s="38">
        <f t="shared" si="0"/>
        <v>0</v>
      </c>
    </row>
    <row r="23" spans="1:9" ht="21.95" customHeight="1" x14ac:dyDescent="0.55000000000000004">
      <c r="A23" s="37"/>
      <c r="B23" s="67"/>
      <c r="C23" s="67"/>
      <c r="D23" s="67"/>
      <c r="E23" s="67"/>
      <c r="F23" s="67"/>
      <c r="G23" s="37"/>
      <c r="H23" s="57"/>
      <c r="I23" s="38">
        <f t="shared" si="0"/>
        <v>0</v>
      </c>
    </row>
    <row r="24" spans="1:9" s="2" customFormat="1" ht="21.95" customHeight="1" x14ac:dyDescent="0.5">
      <c r="A24" s="37"/>
      <c r="B24" s="67"/>
      <c r="C24" s="67"/>
      <c r="D24" s="67"/>
      <c r="E24" s="67"/>
      <c r="F24" s="67"/>
      <c r="G24" s="60"/>
      <c r="H24" s="57"/>
      <c r="I24" s="38">
        <f t="shared" si="0"/>
        <v>0</v>
      </c>
    </row>
    <row r="25" spans="1:9" ht="21.95" customHeight="1" x14ac:dyDescent="0.55000000000000004">
      <c r="A25" s="39"/>
      <c r="B25" s="67"/>
      <c r="C25" s="67"/>
      <c r="D25" s="67"/>
      <c r="E25" s="67"/>
      <c r="F25" s="67"/>
      <c r="G25" s="37"/>
      <c r="H25" s="57"/>
      <c r="I25" s="38">
        <f t="shared" si="0"/>
        <v>0</v>
      </c>
    </row>
    <row r="26" spans="1:9" ht="21.95" customHeight="1" x14ac:dyDescent="0.55000000000000004">
      <c r="A26" s="39"/>
      <c r="B26" s="74"/>
      <c r="C26" s="75"/>
      <c r="D26" s="75"/>
      <c r="E26" s="75"/>
      <c r="F26" s="76"/>
      <c r="G26" s="61"/>
      <c r="H26" s="58"/>
      <c r="I26" s="38">
        <f t="shared" si="0"/>
        <v>0</v>
      </c>
    </row>
    <row r="27" spans="1:9" ht="21.95" customHeight="1" x14ac:dyDescent="0.55000000000000004">
      <c r="A27" s="37"/>
      <c r="B27" s="77"/>
      <c r="C27" s="78"/>
      <c r="D27" s="78"/>
      <c r="E27" s="78"/>
      <c r="F27" s="79"/>
      <c r="G27" s="37"/>
      <c r="H27" s="57"/>
      <c r="I27" s="38">
        <f t="shared" si="0"/>
        <v>0</v>
      </c>
    </row>
    <row r="28" spans="1:9" ht="21.95" customHeight="1" x14ac:dyDescent="0.55000000000000004">
      <c r="A28" s="41"/>
      <c r="B28" s="42"/>
      <c r="C28" s="43"/>
      <c r="D28" s="44"/>
      <c r="E28" s="44"/>
      <c r="F28" s="21"/>
      <c r="G28" s="41"/>
      <c r="H28" s="59"/>
      <c r="I28" s="38">
        <f t="shared" si="0"/>
        <v>0</v>
      </c>
    </row>
    <row r="29" spans="1:9" x14ac:dyDescent="0.55000000000000004">
      <c r="A29" s="45"/>
      <c r="B29" s="17"/>
      <c r="C29" s="2"/>
      <c r="D29" s="2"/>
      <c r="E29" s="2"/>
      <c r="F29" s="40"/>
      <c r="G29" s="70" t="s">
        <v>15</v>
      </c>
      <c r="H29" s="70"/>
      <c r="I29" s="46">
        <f>(SUM(I16:I28))</f>
        <v>3300</v>
      </c>
    </row>
    <row r="30" spans="1:9" ht="24" customHeight="1" x14ac:dyDescent="0.55000000000000004">
      <c r="A30" s="7"/>
      <c r="B30" s="17"/>
      <c r="C30" s="2"/>
      <c r="D30" s="2"/>
      <c r="E30" s="2"/>
      <c r="F30" s="71" t="s">
        <v>16</v>
      </c>
      <c r="G30" s="71"/>
      <c r="H30" s="71"/>
      <c r="I30" s="47">
        <v>0</v>
      </c>
    </row>
    <row r="31" spans="1:9" x14ac:dyDescent="0.55000000000000004">
      <c r="A31" s="48"/>
      <c r="B31" s="72" t="str">
        <f>"("&amp;(BAHTTEXT(I31)&amp;")")</f>
        <v>(สามพันสามร้อยบาทถ้วน)</v>
      </c>
      <c r="C31" s="72"/>
      <c r="D31" s="72"/>
      <c r="E31" s="72"/>
      <c r="F31" s="72"/>
      <c r="G31" s="73" t="s">
        <v>17</v>
      </c>
      <c r="H31" s="73"/>
      <c r="I31" s="49">
        <f>+I29+I30</f>
        <v>3300</v>
      </c>
    </row>
    <row r="32" spans="1:9" ht="21.95" customHeight="1" x14ac:dyDescent="0.55000000000000004">
      <c r="A32" s="45"/>
      <c r="B32" s="50"/>
      <c r="C32" s="50"/>
      <c r="D32" s="50"/>
      <c r="E32" s="29"/>
      <c r="F32" s="51"/>
      <c r="G32" s="50"/>
      <c r="H32" s="2"/>
      <c r="I32" s="29"/>
    </row>
    <row r="33" spans="1:9" ht="24" customHeight="1" x14ac:dyDescent="0.55000000000000004">
      <c r="A33" s="52" t="s">
        <v>18</v>
      </c>
      <c r="B33" s="21"/>
      <c r="C33" s="21"/>
      <c r="D33" s="21"/>
      <c r="E33" s="53"/>
      <c r="F33" s="52" t="s">
        <v>19</v>
      </c>
      <c r="G33"/>
      <c r="H33"/>
      <c r="I33" s="53"/>
    </row>
    <row r="34" spans="1:9" x14ac:dyDescent="0.55000000000000004">
      <c r="A34" s="7"/>
      <c r="B34" s="2" t="s">
        <v>20</v>
      </c>
      <c r="C34" s="2"/>
      <c r="D34" s="2"/>
      <c r="E34" s="53"/>
      <c r="F34" s="15"/>
      <c r="G34" s="68" t="s">
        <v>21</v>
      </c>
      <c r="H34" s="68"/>
      <c r="I34" s="68"/>
    </row>
    <row r="35" spans="1:9" x14ac:dyDescent="0.55000000000000004">
      <c r="A35" s="54" t="s">
        <v>22</v>
      </c>
      <c r="B35" s="21"/>
      <c r="C35" s="21"/>
      <c r="D35" s="21"/>
      <c r="E35" s="21"/>
      <c r="F35" s="54"/>
      <c r="G35" s="69"/>
      <c r="H35" s="69"/>
      <c r="I35" s="69"/>
    </row>
  </sheetData>
  <mergeCells count="25">
    <mergeCell ref="B14:F14"/>
    <mergeCell ref="B15:F15"/>
    <mergeCell ref="A1:I1"/>
    <mergeCell ref="A2:I2"/>
    <mergeCell ref="A4:I4"/>
    <mergeCell ref="A5:I5"/>
    <mergeCell ref="A6:I6"/>
    <mergeCell ref="B18:F18"/>
    <mergeCell ref="B19:F19"/>
    <mergeCell ref="B20:F20"/>
    <mergeCell ref="B21:F21"/>
    <mergeCell ref="B16:F16"/>
    <mergeCell ref="B17:F17"/>
    <mergeCell ref="B22:F22"/>
    <mergeCell ref="B23:F23"/>
    <mergeCell ref="G34:I34"/>
    <mergeCell ref="G35:I35"/>
    <mergeCell ref="G29:H29"/>
    <mergeCell ref="F30:H30"/>
    <mergeCell ref="B31:F31"/>
    <mergeCell ref="G31:H31"/>
    <mergeCell ref="B26:F26"/>
    <mergeCell ref="B27:F27"/>
    <mergeCell ref="B25:F25"/>
    <mergeCell ref="B24:F24"/>
  </mergeCells>
  <printOptions horizontalCentered="1"/>
  <pageMargins left="0.15763888888888899" right="0.15763888888888899" top="0.31527777777777799" bottom="0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แบบฟอร์มใบเสนอราคา</vt:lpstr>
      <vt:lpstr>แบบฟอร์มใบเสนอราคา!Print_Area</vt:lpstr>
      <vt:lpstr>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Supachai nilcha</dc:creator>
  <dc:description/>
  <cp:lastModifiedBy>kpn mis026</cp:lastModifiedBy>
  <cp:revision>1</cp:revision>
  <cp:lastPrinted>2025-06-21T05:55:32Z</cp:lastPrinted>
  <dcterms:created xsi:type="dcterms:W3CDTF">1999-09-13T06:57:29Z</dcterms:created>
  <dcterms:modified xsi:type="dcterms:W3CDTF">2026-06-03T06:29:22Z</dcterms:modified>
  <dc:language>th-TH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